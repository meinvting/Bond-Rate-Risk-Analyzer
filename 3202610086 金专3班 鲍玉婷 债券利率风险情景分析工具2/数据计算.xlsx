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<sst xmlns="http://schemas.openxmlformats.org/spreadsheetml/2006/main" count="21" uniqueCount="21">
  <si>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债券参数输入</t>
  </si>
  <si>
    <t>利率情景分析表</t>
  </si>
  <si>
    <t>债券面值（美元）</t>
  </si>
  <si>
    <t>利率变动</t>
  </si>
  <si>
    <t>新市场利率</t>
  </si>
  <si>
    <t xml:space="preserve"> 新价格</t>
  </si>
  <si>
    <t>价格涨跌幅</t>
  </si>
  <si>
    <t>票面利率</t>
  </si>
  <si>
    <t>剩余期限（年）</t>
  </si>
  <si>
    <t>每年付息次数</t>
  </si>
  <si>
    <t>市场利率</t>
  </si>
  <si>
    <t>计算结果</t>
  </si>
  <si>
    <t>债券理论价格</t>
  </si>
  <si>
    <t>当期收益率</t>
  </si>
  <si>
    <t xml:space="preserve"> 债券期限 (年)</t>
  </si>
  <si>
    <t>原价格 (12%利率)</t>
  </si>
  <si>
    <t>新价格 (13%利率)</t>
  </si>
  <si>
    <t>跌幅</t>
  </si>
  <si>
    <t>债券状态</t>
  </si>
  <si>
    <t>教材例题12-3校验 (目标 965.35)</t>
  </si>
  <si>
    <t>10年期债券的跌幅远大于2年期，由此可证明期限越长，利率风险越大。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</si>
</sst>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%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1">
      <alignment vertical="center"/>
    </xf>
    <xf numFmtId="0" fontId="9" fillId="0" borderId="11">
      <alignment vertical="center"/>
    </xf>
    <xf numFmtId="0" fontId="10" fillId="0" borderId="12">
      <alignment vertical="center"/>
    </xf>
    <xf numFmtId="0" fontId="10" fillId="0" borderId="0">
      <alignment vertical="center"/>
    </xf>
    <xf numFmtId="0" fontId="11" fillId="3" borderId="13">
      <alignment vertical="center"/>
    </xf>
    <xf numFmtId="0" fontId="12" fillId="4" borderId="14">
      <alignment vertical="center"/>
    </xf>
    <xf numFmtId="0" fontId="13" fillId="4" borderId="13">
      <alignment vertical="center"/>
    </xf>
    <xf numFmtId="0" fontId="14" fillId="5" borderId="15">
      <alignment vertical="center"/>
    </xf>
    <xf numFmtId="0" fontId="15" fillId="0" borderId="16">
      <alignment vertical="center"/>
    </xf>
    <xf numFmtId="0" fontId="16" fillId="0" borderId="17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26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176" fontId="0" fillId="0" borderId="5" xfId="3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8" fontId="0" fillId="0" borderId="8" xfId="0" applyNumberFormat="1" applyBorder="1" applyAlignment="1">
      <alignment horizontal="center" vertical="center"/>
    </xf>
    <xf numFmtId="176" fontId="0" fillId="0" borderId="7" xfId="3" applyNumberFormat="1" applyBorder="1" applyAlignment="1">
      <alignment horizontal="center" vertical="center"/>
    </xf>
    <xf numFmtId="8" fontId="0" fillId="0" borderId="5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0" xfId="0" applyFont="1" applyAlignment="1"/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市场利率与债券价格关系图</a:t>
            </a:r>
          </a:p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rich>
      </c:tx>
      <c:layout>
        <c:manualLayout>
          <c:xMode val="edge"/>
          <c:yMode val="edge"/>
          <c:x val="0.224262482061094"/>
          <c:y val="0.0336361878987048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新市场利率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Sheet1!$E$3:$E$7</c:f>
              <c:numCache>
                <c:formatCode>General</c:formatCode>
                <c:ptCount val="5"/>
                <c:pt idx="0">
                  <c:v>0.11</c:v>
                </c:pt>
                <c:pt idx="1">
                  <c:v>0.115</c:v>
                </c:pt>
                <c:pt idx="2">
                  <c:v>0.12</c:v>
                </c:pt>
                <c:pt idx="3">
                  <c:v>0.125</c:v>
                </c:pt>
                <c:pt idx="4">
                  <c:v>0.13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Sheet1!$F$2</c:f>
              <c:strCache>
                <c:ptCount val="1"/>
                <c:pt idx="0">
                  <c:v> 新价格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Sheet1!$F$3:$F$7</c:f>
              <c:numCache>
                <c:formatCode>"￥"#,##0.00;[Red]"￥"\-#,##0.00</c:formatCode>
                <c:ptCount val="5"/>
                <c:pt idx="0">
                  <c:v>982.474249391109</c:v>
                </c:pt>
                <c:pt idx="1">
                  <c:v>973.862240916328</c:v>
                </c:pt>
                <c:pt idx="2">
                  <c:v>965.348943873003</c:v>
                </c:pt>
                <c:pt idx="3">
                  <c:v>956.932986913471</c:v>
                </c:pt>
                <c:pt idx="4">
                  <c:v>948.613020975727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Sheet1!$G$2</c:f>
              <c:strCache>
                <c:ptCount val="1"/>
                <c:pt idx="0">
                  <c:v>价格涨跌幅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0.00183010523105079"/>
                  <c:y val="-0.071911849990334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0366021046210157"/>
                  <c:y val="-0.060313164508022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549031569315236"/>
                  <c:y val="-0.067272375797409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366021046210157"/>
                  <c:y val="-0.0579934274115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0183010523105079"/>
                  <c:y val="-0.055673690315097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  <a:prstDash val="solid"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Sheet1!$G$3:$G$7</c:f>
              <c:numCache>
                <c:formatCode>0.000000%</c:formatCode>
                <c:ptCount val="5"/>
                <c:pt idx="0">
                  <c:v>0.0177400158013315</c:v>
                </c:pt>
                <c:pt idx="1">
                  <c:v>0.00881888056889423</c:v>
                </c:pt>
                <c:pt idx="2">
                  <c:v>0</c:v>
                </c:pt>
                <c:pt idx="3">
                  <c:v>-0.00871804647733661</c:v>
                </c:pt>
                <c:pt idx="4">
                  <c:v>-0.0173366563494974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13740334"/>
        <c:axId val="383513721"/>
      </c:lineChart>
      <c:catAx>
        <c:axId val="21374033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3513721"/>
        <c:crosses val="autoZero"/>
        <c:auto val="1"/>
        <c:lblAlgn val="ctr"/>
        <c:lblOffset val="100"/>
        <c:noMultiLvlLbl val="0"/>
      </c:catAx>
      <c:valAx>
        <c:axId val="3835137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740334"/>
        <c:crosses val="autoZero"/>
        <c:crossBetween val="between"/>
      </c:valAx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4c16d83-d70e-48fa-b87a-e399ba8e8d4f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554355</xdr:colOff>
      <xdr:row>0</xdr:row>
      <xdr:rowOff>23495</xdr:rowOff>
    </xdr:from>
    <xdr:to>
      <xdr:col>14</xdr:col>
      <xdr:colOff>450850</xdr:colOff>
      <xdr:row>15</xdr:row>
      <xdr:rowOff>565150</xdr:rowOff>
    </xdr:to>
    <xdr:graphicFrame>
      <xdr:nvGraphicFramePr>
        <xdr:cNvPr id="2" name="Chart 1"/>
        <xdr:cNvGraphicFramePr/>
      </xdr:nvGraphicFramePr>
      <xdr:xfrm>
        <a:off x="9279255" y="23495"/>
        <a:ext cx="4163695" cy="32848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L19" sqref="L19"/>
    </sheetView>
  </sheetViews>
  <sheetFormatPr defaultColWidth="8.88888888888889" defaultRowHeight="14.4" outlineLevelCol="6"/>
  <cols>
    <col min="1" max="1" width="35.8888888888889" style="1" customWidth="1"/>
    <col min="2" max="2" width="12.8888888888889" style="1" customWidth="1"/>
    <col min="4" max="4" width="15.8888888888889" style="1" customWidth="1"/>
    <col min="5" max="5" width="18.3333333333333" style="1" customWidth="1"/>
    <col min="6" max="6" width="19" style="1" customWidth="1"/>
    <col min="7" max="7" width="16.3333333333333" style="1" customWidth="1"/>
  </cols>
  <sheetData>
    <row r="1" spans="1:7">
      <c r="A1" s="2" t="s">
        <v>0</v>
      </c>
      <c r="B1" s="3"/>
      <c r="D1" s="2" t="s">
        <v>1</v>
      </c>
      <c r="E1" s="4"/>
      <c r="F1" s="4"/>
      <c r="G1" s="3"/>
    </row>
    <row r="2" spans="1:7">
      <c r="A2" s="5" t="s">
        <v>2</v>
      </c>
      <c r="B2" s="6">
        <v>1000</v>
      </c>
      <c r="D2" s="5" t="s">
        <v>3</v>
      </c>
      <c r="E2" s="7" t="s">
        <v>4</v>
      </c>
      <c r="F2" s="7" t="s">
        <v>5</v>
      </c>
      <c r="G2" s="6" t="s">
        <v>6</v>
      </c>
    </row>
    <row r="3" spans="1:7">
      <c r="A3" s="5" t="s">
        <v>7</v>
      </c>
      <c r="B3" s="8">
        <v>0.1</v>
      </c>
      <c r="D3" s="9">
        <v>-0.01</v>
      </c>
      <c r="E3" s="7">
        <f>$B$6+D3</f>
        <v>0.11</v>
      </c>
      <c r="F3" s="10">
        <f>-PV(E3/$B$5,$B$4*$B$5,$B$2*$B$3/$B$5,$B$2)</f>
        <v>982.474249391109</v>
      </c>
      <c r="G3" s="11">
        <f>(F3-$B$9)/$B$9</f>
        <v>0.0177400158013315</v>
      </c>
    </row>
    <row r="4" spans="1:7">
      <c r="A4" s="5" t="s">
        <v>8</v>
      </c>
      <c r="B4" s="6">
        <v>2</v>
      </c>
      <c r="D4" s="12">
        <v>-0.005</v>
      </c>
      <c r="E4" s="7">
        <f>$B$6+D4</f>
        <v>0.115</v>
      </c>
      <c r="F4" s="10">
        <f>-PV(E4/$B$5,$B$4*$B$5,$B$2*$B$3/$B$5,$B$2)</f>
        <v>973.862240916328</v>
      </c>
      <c r="G4" s="11">
        <f>(F4-$B$9)/$B$9</f>
        <v>0.00881888056889423</v>
      </c>
    </row>
    <row r="5" spans="1:7">
      <c r="A5" s="5" t="s">
        <v>9</v>
      </c>
      <c r="B5" s="6">
        <v>2</v>
      </c>
      <c r="D5" s="5">
        <v>0</v>
      </c>
      <c r="E5" s="7">
        <f>$B$6+D5</f>
        <v>0.12</v>
      </c>
      <c r="F5" s="10">
        <f>-PV(E5/$B$5,$B$4*$B$5,$B$2*$B$3/$B$5,$B$2)</f>
        <v>965.348943873003</v>
      </c>
      <c r="G5" s="11">
        <f>(F5-$B$9)/$B$9</f>
        <v>0</v>
      </c>
    </row>
    <row r="6" spans="1:7">
      <c r="A6" s="13" t="s">
        <v>10</v>
      </c>
      <c r="B6" s="14">
        <v>0.12</v>
      </c>
      <c r="D6" s="12">
        <v>0.005</v>
      </c>
      <c r="E6" s="7">
        <f>$B$6+D6</f>
        <v>0.125</v>
      </c>
      <c r="F6" s="10">
        <f>-PV(E6/$B$5,$B$4*$B$5,$B$2*$B$3/$B$5,$B$2)</f>
        <v>956.932986913471</v>
      </c>
      <c r="G6" s="11">
        <f>(F6-$B$9)/$B$9</f>
        <v>-0.00871804647733661</v>
      </c>
    </row>
    <row r="7" spans="1:7">
      <c r="A7" s="7"/>
      <c r="B7" s="7"/>
      <c r="D7" s="15">
        <v>0.01</v>
      </c>
      <c r="E7" s="16">
        <f>$B$6+D7</f>
        <v>0.13</v>
      </c>
      <c r="F7" s="17">
        <f>-PV(E7/$B$5,$B$4*$B$5,$B$2*$B$3/$B$5,$B$2)</f>
        <v>948.613020975727</v>
      </c>
      <c r="G7" s="18">
        <f>(F7-$B$9)/$B$9</f>
        <v>-0.0173366563494974</v>
      </c>
    </row>
    <row r="8" spans="1:7">
      <c r="A8" s="2" t="s">
        <v>11</v>
      </c>
      <c r="B8" s="3"/>
      <c r="D8" s="7"/>
      <c r="E8" s="7"/>
      <c r="F8" s="7"/>
      <c r="G8" s="7"/>
    </row>
    <row r="9" spans="1:7">
      <c r="A9" s="5" t="s">
        <v>12</v>
      </c>
      <c r="B9" s="19">
        <f>-PV(B6/B5,B4*B5,B2*B3/B5,B2)</f>
        <v>965.348943873003</v>
      </c>
      <c r="D9" s="7"/>
      <c r="E9" s="7"/>
      <c r="F9" s="7"/>
      <c r="G9" s="7"/>
    </row>
    <row r="10" spans="1:7">
      <c r="A10" s="5" t="s">
        <v>13</v>
      </c>
      <c r="B10" s="6">
        <f>B2*B3/B9</f>
        <v>0.103589485061016</v>
      </c>
      <c r="D10" s="20" t="s">
        <v>14</v>
      </c>
      <c r="E10" s="21" t="s">
        <v>15</v>
      </c>
      <c r="F10" s="21" t="s">
        <v>16</v>
      </c>
      <c r="G10" s="22" t="s">
        <v>17</v>
      </c>
    </row>
    <row r="11" spans="1:7">
      <c r="A11" s="13" t="s">
        <v>18</v>
      </c>
      <c r="B11" s="23" t="str">
        <f>IF(B9&lt;B2,"折价",IF(B9&gt;B2,"溢价","平价"))</f>
        <v>折价</v>
      </c>
      <c r="D11" s="5">
        <v>2</v>
      </c>
      <c r="E11" s="7">
        <f>-PV($B$6/$B$5,D11*$B$5,$B$2*$B$3/$B$5,$B$2)</f>
        <v>965.348943873003</v>
      </c>
      <c r="F11" s="10">
        <f>-PV(($B$6+1%)/$B$5,D11*$B$5,$B$2*$B$3/$B$5,$B$2)</f>
        <v>948.613020975727</v>
      </c>
      <c r="G11" s="11">
        <f>(F11-E11)/E11</f>
        <v>-0.0173366563494974</v>
      </c>
    </row>
    <row r="12" spans="1:7">
      <c r="A12" s="24" t="s">
        <v>19</v>
      </c>
      <c r="B12" s="24" t="str">
        <f>IF(ISNUMBER(B9),IF(ROUND(B9,2)=965.35,"验证通过","验证失败"),"验证失败")</f>
        <v>验证通过</v>
      </c>
      <c r="D12" s="5">
        <v>5</v>
      </c>
      <c r="E12" s="7">
        <f>-PV($B$6/$B$5,D12*$B$5,$B$2*$B$3/$B$5,$B$2)</f>
        <v>926.399129485853</v>
      </c>
      <c r="F12" s="10">
        <f>-PV(($B$6+1%)/$B$5,D12*$B$5,$B$2*$B$3/$B$5,$B$2)</f>
        <v>892.167546658584</v>
      </c>
      <c r="G12" s="11">
        <f>(F12-E12)/E12</f>
        <v>-0.0369512251660553</v>
      </c>
    </row>
    <row r="13" spans="4:7">
      <c r="D13" s="13">
        <v>10</v>
      </c>
      <c r="E13" s="16">
        <f>-PV($B$6/$B$5,D13*$B$5,$B$2*$B$3/$B$5,$B$2)</f>
        <v>885.300787814347</v>
      </c>
      <c r="F13" s="17">
        <f>-PV(($B$6+1%)/$B$5,D13*$B$5,$B$2*$B$3/$B$5,$B$2)</f>
        <v>834.722391289558</v>
      </c>
      <c r="G13" s="18">
        <f>(F13-E13)/E13</f>
        <v>-0.0571313131321823</v>
      </c>
    </row>
    <row r="16" ht="51" customHeight="1" spans="3:3">
      <c r="C16" s="25" t="s">
        <v>20</v>
      </c>
    </row>
  </sheetData>
  <mergeCells count="4">
    <mergeCell ref="A1:B1"/>
    <mergeCell ref="D1:G1"/>
    <mergeCell ref="A8:B8"/>
    <mergeCell ref="C16:G1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攒一身可爱</cp:lastModifiedBy>
  <dcterms:created xsi:type="dcterms:W3CDTF">2026-10-27T03:08:00Z</dcterms:created>
  <dcterms:modified xsi:type="dcterms:W3CDTF">2026-10-28T16:15:52Z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2F7180ABF4CA447EB617810D6E4CC013_12</vt:lpwstr>
  </property>
  <property fmtid="{D5CDD505-2E9C-101B-9397-08002B2CF9AE}" pid="3" name="KSOProductBuildVer">
    <vt:lpwstr>2052-12.1.0.20784</vt:lpwstr>
  </property>
</Properties>
</file>